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d68c6910f64348" /></Relationships>
</file>

<file path=xl/workbook.xml><?xml version="1.0" encoding="utf-8"?>
<x:workbook xmlns:x="http://schemas.openxmlformats.org/spreadsheetml/2006/main">
  <x:sheets>
    <x:sheet xmlns:r="http://schemas.openxmlformats.org/officeDocument/2006/relationships" name="Project Plan" sheetId="1" r:id="R88cb1d6169834fe2"/>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<x:sst xmlns:x="http://schemas.openxmlformats.org/spreadsheetml/2006/main">
  <x:si>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</x:si>
  <x:si>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</x:si>
  <x:si>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</x:si>
  <x:si>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</x:si>
  <x:si>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Project Title</x:t>
  </x:si>
  <x:si>
    <x:t xml:space="preserve">Project Manager</x:t>
  </x:si>
  <x:si>
    <x:t xml:space="preserve">TOTAL TASKS</x:t>
  </x:si>
  <x:si>
    <x:t xml:space="preserve">COMPLETE</x:t>
  </x:si>
  <x:si>
    <x:t xml:space="preserve">IN PROGRESS</x:t>
  </x:si>
  <x:si>
    <x:t xml:space="preserve">AT RISK</x:t>
  </x:si>
  <x:si>
    <x:t xml:space="preserve">P0 TASKS</x:t>
  </x:si>
  <x:si>
    <x:t xml:space="preserve">Company Name</x:t>
  </x:si>
  <x:si>
    <x:t xml:space="preserve">Timeline Start</x:t>
  </x:si>
  <x:si>
    <x:t xml:space="preserve">WORKSTREAM PLAN</x:t>
  </x:si>
  <x:si>
    <x:t xml:space="preserve">GANTT — 20-WEEK VIEW</x:t>
  </x:si>
  <x:si>
    <x:t xml:space="preserve">Workstream</x:t>
  </x:si>
  <x:si>
    <x:t xml:space="preserve">Task</x:t>
  </x:si>
  <x:si>
    <x:t xml:space="preserve">Owner</x:t>
  </x:si>
  <x:si>
    <x:t xml:space="preserve">Status</x:t>
  </x:si>
  <x:si>
    <x:t xml:space="preserve">Priority</x:t>
  </x:si>
  <x:si>
    <x:t xml:space="preserve">Start Date</x:t>
  </x:si>
  <x:si>
    <x:t xml:space="preserve">End Date</x:t>
  </x:si>
  <x:si>
    <x:t xml:space="preserve">Days</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</x:si>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</x:sst>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4">
    <x:numFmt numFmtId="164" formatCode="mmm\ d\,\ yyyy"/>
    <x:numFmt numFmtId="165" formatCode="#,##0;[Red]\(#,##0\);\-"/>
    <x:numFmt numFmtId="166" formatCode="mmm\ d"/>
    <x:numFmt numFmtId="167" formatCode=";;;"/>
  </x:numFmts>
  <x:fonts count="15">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s>
  <x:fills count="9">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s>
  <x:borders count="14">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s>
  <x:cellStyleXfs count="1">
    <x:xf numFmtId="0" fontId="0" fillId="0" borderId="0"/>
  </x:cellStyleXfs>
  <x:cellXfs count="48">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cellXfs>
  <x:cellStyles count="1">
    <x:cellStyle name="Normal" xfId="0"/>
  </x:cellStyles>
  <x:dxfs count="11">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b3142931674fc1" /><Relationship Type="http://schemas.openxmlformats.org/officeDocument/2006/relationships/theme" Target="/xl/theme/theme1.xml" Id="Ra6192e1800144a00" /><Relationship Type="http://schemas.openxmlformats.org/officeDocument/2006/relationships/sharedStrings" Target="/xl/sharedStrings.xml" Id="Ra5efac2e732a45eb" /><Relationship Type="http://schemas.openxmlformats.org/officeDocument/2006/relationships/worksheet" Target="/xl/worksheets/sheet1.xml" Id="R88cb1d6169834fe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
        <x:v>0</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
        <x:v>1</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
        <x:v>2</x:v>
      </x:c>
      <x:c r="C4" s="21" t="s">
        <x:v>2</x:v>
      </x:c>
      <x:c r="D4" s="21" t="s">
        <x:v>2</x:v>
      </x:c>
      <x:c r="E4" s="21" t="s">
        <x:v>2</x:v>
      </x:c>
      <x:c r="F4" s="21" t="s">
        <x:v>2</x:v>
      </x:c>
      <x:c r="G4" s="21" t="s">
        <x:v>2</x:v>
      </x:c>
      <x:c r="H4" s="21" t="s">
        <x:v>2</x:v>
      </x:c>
      <x:c r="I4" s="21" t="s">
        <x:v>2</x:v>
      </x:c>
      <x:c r="J4" s="15"/>
      <x:c r="K4" s="21" t="s">
        <x:v>3</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
        <x:v>4</x:v>
      </x:c>
      <x:c r="C5" s="22" t="str">
        <x:v>KCLUB MVP V9 — Phase 0/1</x:v>
      </x:c>
      <x:c r="D5" s="22" t="str">
        <x:v>KCLUB MVP V9 — Phase 0/1</x:v>
      </x:c>
      <x:c r="E5" s="22" t="str">
        <x:v>KCLUB MVP V9 — Phase 0/1</x:v>
      </x:c>
      <x:c r="F5" s="27" t="s">
        <x:v>5</x:v>
      </x:c>
      <x:c r="G5" s="28"/>
      <x:c r="H5" s="23" t="str">
        <x:v>Unassigned</x:v>
      </x:c>
      <x:c r="I5" s="23" t="str">
        <x:v>Unassigned</x:v>
      </x:c>
      <x:c r="J5" s="15"/>
      <x:c r="K5" s="24" t="s">
        <x:v>6</x:v>
      </x:c>
      <x:c r="L5" s="25" t="s">
        <x:v>6</x:v>
      </x:c>
      <x:c r="M5" s="25" t="s">
        <x:v>6</x:v>
      </x:c>
      <x:c r="N5" s="26" t="s">
        <x:v>6</x:v>
      </x:c>
      <x:c r="O5" s="24" t="s">
        <x:v>7</x:v>
      </x:c>
      <x:c r="P5" s="25" t="s">
        <x:v>7</x:v>
      </x:c>
      <x:c r="Q5" s="25" t="s">
        <x:v>7</x:v>
      </x:c>
      <x:c r="R5" s="26" t="s">
        <x:v>7</x:v>
      </x:c>
      <x:c r="S5" s="24" t="s">
        <x:v>8</x:v>
      </x:c>
      <x:c r="T5" s="25" t="s">
        <x:v>8</x:v>
      </x:c>
      <x:c r="U5" s="25" t="s">
        <x:v>8</x:v>
      </x:c>
      <x:c r="V5" s="26" t="s">
        <x:v>8</x:v>
      </x:c>
      <x:c r="W5" s="24" t="s">
        <x:v>9</x:v>
      </x:c>
      <x:c r="X5" s="25" t="s">
        <x:v>9</x:v>
      </x:c>
      <x:c r="Y5" s="25" t="s">
        <x:v>9</x:v>
      </x:c>
      <x:c r="Z5" s="26" t="s">
        <x:v>9</x:v>
      </x:c>
      <x:c r="AA5" s="24" t="s">
        <x:v>10</x:v>
      </x:c>
      <x:c r="AB5" s="25" t="s">
        <x:v>10</x:v>
      </x:c>
      <x:c r="AC5" s="25" t="s">
        <x:v>10</x:v>
      </x:c>
      <x:c r="AD5" s="26" t="s">
        <x:v>10</x:v>
      </x:c>
    </x:row>
    <x:row r="6" ht="22" customHeight="1">
      <x:c r="B6" s="18" t="s">
        <x:v>11</x:v>
      </x:c>
      <x:c r="C6" s="23" t="str">
        <x:v>KYLYVNYK CLUB</x:v>
      </x:c>
      <x:c r="D6" s="23" t="str">
        <x:v>KYLYVNYK CLUB</x:v>
      </x:c>
      <x:c r="E6" s="23" t="str">
        <x:v>KYLYVNYK CLUB</x:v>
      </x:c>
      <x:c r="F6" s="27" t="s">
        <x:v>12</x:v>
      </x:c>
      <x:c r="G6" s="28"/>
      <x:c r="H6" s="41" t="n">
        <x:v>46237</x:v>
      </x:c>
      <x:c r="I6" s="41" t="n">
        <x:v>46237</x:v>
      </x:c>
      <x:c r="J6" s="15"/>
      <x:c r="K6" s="42" t="n">
        <x:f>COUNTA($C$10:$C$39)</x:f>
        <x:v>18</x:v>
      </x:c>
      <x:c r="L6" s="43"/>
      <x:c r="M6" s="43"/>
      <x:c r="N6" s="44"/>
      <x:c r="O6" s="45" t="n">
        <x:f>COUNTIF($E$10:$E$39,"Complete")</x:f>
        <x:v>1</x:v>
      </x:c>
      <x:c r="P6" s="46"/>
      <x:c r="Q6" s="46"/>
      <x:c r="R6" s="47"/>
      <x:c r="S6" s="35" t="n">
        <x:f>COUNTIF($E$10:$E$39,"In Progress")</x:f>
        <x:v>10</x:v>
      </x:c>
      <x:c r="T6" s="36"/>
      <x:c r="U6" s="36"/>
      <x:c r="V6" s="37"/>
      <x:c r="W6" s="38" t="n">
        <x:f>COUNTIF($E$10:$E$39,"At Risk")</x:f>
        <x:v>5</x:v>
      </x:c>
      <x:c r="X6" s="39"/>
      <x:c r="Y6" s="39"/>
      <x:c r="Z6" s="40"/>
      <x:c r="AA6" s="38" t="n">
        <x:f>COUNTIF($F$10:$F$39,"P0")</x:f>
        <x:v>12</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
        <x:v>13</x:v>
      </x:c>
      <x:c r="C8" s="21" t="s">
        <x:v>13</x:v>
      </x:c>
      <x:c r="D8" s="21" t="s">
        <x:v>13</x:v>
      </x:c>
      <x:c r="E8" s="21" t="s">
        <x:v>13</x:v>
      </x:c>
      <x:c r="F8" s="21" t="s">
        <x:v>13</x:v>
      </x:c>
      <x:c r="G8" s="21" t="s">
        <x:v>13</x:v>
      </x:c>
      <x:c r="H8" s="21" t="s">
        <x:v>13</x:v>
      </x:c>
      <x:c r="I8" s="21" t="s">
        <x:v>13</x:v>
      </x:c>
      <x:c r="J8" s="15"/>
      <x:c r="K8" s="21" t="s">
        <x:v>14</x:v>
      </x:c>
      <x:c r="L8" s="21" t="s">
        <x:v>14</x:v>
      </x:c>
      <x:c r="M8" s="21" t="s">
        <x:v>14</x:v>
      </x:c>
      <x:c r="N8" s="21" t="s">
        <x:v>14</x:v>
      </x:c>
      <x:c r="O8" s="21" t="s">
        <x:v>14</x:v>
      </x:c>
      <x:c r="P8" s="21" t="s">
        <x:v>14</x:v>
      </x:c>
      <x:c r="Q8" s="21" t="s">
        <x:v>14</x:v>
      </x:c>
      <x:c r="R8" s="21" t="s">
        <x:v>14</x:v>
      </x:c>
      <x:c r="S8" s="21" t="s">
        <x:v>14</x:v>
      </x:c>
      <x:c r="T8" s="21" t="s">
        <x:v>14</x:v>
      </x:c>
      <x:c r="U8" s="21" t="s">
        <x:v>14</x:v>
      </x:c>
      <x:c r="V8" s="21" t="s">
        <x:v>14</x:v>
      </x:c>
      <x:c r="W8" s="21" t="s">
        <x:v>14</x:v>
      </x:c>
      <x:c r="X8" s="21" t="s">
        <x:v>14</x:v>
      </x:c>
      <x:c r="Y8" s="21" t="s">
        <x:v>14</x:v>
      </x:c>
      <x:c r="Z8" s="21" t="s">
        <x:v>14</x:v>
      </x:c>
      <x:c r="AA8" s="21" t="s">
        <x:v>14</x:v>
      </x:c>
      <x:c r="AB8" s="21" t="s">
        <x:v>14</x:v>
      </x:c>
      <x:c r="AC8" s="21" t="s">
        <x:v>14</x:v>
      </x:c>
      <x:c r="AD8" s="21" t="s">
        <x:v>14</x:v>
      </x:c>
    </x:row>
    <x:row r="9" ht="28" customHeight="1">
      <x:c r="B9" s="1" t="s">
        <x:v>15</x:v>
      </x:c>
      <x:c r="C9" s="1" t="s">
        <x:v>16</x:v>
      </x:c>
      <x:c r="D9" s="1" t="s">
        <x:v>17</x:v>
      </x:c>
      <x:c r="E9" s="1" t="s">
        <x:v>18</x:v>
      </x:c>
      <x:c r="F9" s="1" t="s">
        <x:v>19</x:v>
      </x:c>
      <x:c r="G9" s="1" t="s">
        <x:v>20</x:v>
      </x:c>
      <x:c r="H9" s="1" t="s">
        <x:v>21</x:v>
      </x:c>
      <x:c r="I9" s="1" t="s">
        <x:v>22</x:v>
      </x:c>
      <x:c r="J9" s="15"/>
      <x:c r="K9" s="2" t="n">
        <x:f>$H$6</x:f>
        <x:v>46237</x:v>
      </x:c>
      <x:c r="L9" s="2" t="n">
        <x:f t="shared" ref="L9:AD9" si="0">K9+7</x:f>
        <x:v>46244</x:v>
      </x:c>
      <x:c r="M9" s="2" t="n">
        <x:f t="shared" si="0">L9+7</x:f>
        <x:v>46251</x:v>
      </x:c>
      <x:c r="N9" s="2" t="n">
        <x:f t="shared" si="0">M9+7</x:f>
        <x:v>46258</x:v>
      </x:c>
      <x:c r="O9" s="2" t="n">
        <x:f t="shared" si="0">N9+7</x:f>
        <x:v>46265</x:v>
      </x:c>
      <x:c r="P9" s="2" t="n">
        <x:f t="shared" si="0">O9+7</x:f>
        <x:v>46272</x:v>
      </x:c>
      <x:c r="Q9" s="2" t="n">
        <x:f t="shared" si="0">P9+7</x:f>
        <x:v>46279</x:v>
      </x:c>
      <x:c r="R9" s="2" t="n">
        <x:f t="shared" si="0">Q9+7</x:f>
        <x:v>46286</x:v>
      </x:c>
      <x:c r="S9" s="2" t="n">
        <x:f t="shared" si="0">R9+7</x:f>
        <x:v>46293</x:v>
      </x:c>
      <x:c r="T9" s="2" t="n">
        <x:f t="shared" si="0">S9+7</x:f>
        <x:v>46300</x:v>
      </x:c>
      <x:c r="U9" s="2" t="n">
        <x:f t="shared" si="0">T9+7</x:f>
        <x:v>46307</x:v>
      </x:c>
      <x:c r="V9" s="2" t="n">
        <x:f t="shared" si="0">U9+7</x:f>
        <x:v>46314</x:v>
      </x:c>
      <x:c r="W9" s="2" t="n">
        <x:f t="shared" si="0">V9+7</x:f>
        <x:v>46321</x:v>
      </x:c>
      <x:c r="X9" s="2" t="n">
        <x:f t="shared" si="0">W9+7</x:f>
        <x:v>46328</x:v>
      </x:c>
      <x:c r="Y9" s="2" t="n">
        <x:f t="shared" si="0">X9+7</x:f>
        <x:v>46335</x:v>
      </x:c>
      <x:c r="Z9" s="2" t="n">
        <x:f t="shared" si="0">Y9+7</x:f>
        <x:v>46342</x:v>
      </x:c>
      <x:c r="AA9" s="2" t="n">
        <x:f t="shared" si="0">Z9+7</x:f>
        <x:v>46349</x:v>
      </x:c>
      <x:c r="AB9" s="2" t="n">
        <x:f t="shared" si="0">AA9+7</x:f>
        <x:v>46356</x:v>
      </x:c>
      <x:c r="AC9" s="2" t="n">
        <x:f t="shared" si="0">AB9+7</x:f>
        <x:v>46363</x:v>
      </x:c>
      <x:c r="AD9" s="2" t="n">
        <x:f t="shared" si="0">AC9+7</x:f>
        <x:v>46370</x:v>
      </x:c>
    </x:row>
    <x:row r="10">
      <x:c r="B10" s="5" t="str">
        <x:v>Foundation</x:v>
      </x:c>
      <x:c r="C10" s="4" t="str">
        <x:v>T-0.1 · Repository and branch controls</x:v>
      </x:c>
      <x:c r="D10" s="7" t="str">
        <x:v>Solo + AI</x:v>
      </x:c>
      <x:c r="E10" s="7" t="str">
        <x:v>In Progress</x:v>
      </x:c>
      <x:c r="F10" s="7" t="str">
        <x:v>P1</x:v>
      </x:c>
      <x:c r="G10" s="16" t="n">
        <x:v>46237</x:v>
      </x:c>
      <x:c r="H10" s="16" t="n">
        <x:v>46241</x:v>
      </x:c>
      <x:c r="I10" s="11" t="n">
        <x:f t="shared" ref="I10:I39" si="1">IF(OR(G10="",H10="",H10&lt;G10),"",H10-G10+1)</x:f>
        <x:v>5</x:v>
      </x:c>
      <x:c r="J10" s="15"/>
      <x:c r="K10" s="12" t="n">
        <x:f t="shared" ref="K10:T19" si="2">IF(OR($G10="",$H10="",$H10&lt;$G10),"",IF(AND(K$9&lt;=$H10,K$9+6&gt;=$G10),1,""))</x:f>
        <x:v>1</x:v>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x:c r="B11" s="6" t="str">
        <x:v>Foundation</x:v>
      </x:c>
      <x:c r="C11" s="3" t="str">
        <x:v>T-0.3 · Provision remaining vendor accounts</x:v>
      </x:c>
      <x:c r="D11" s="8" t="str">
        <x:v>Solo + AI</x:v>
      </x:c>
      <x:c r="E11" s="8" t="str">
        <x:v>At Risk</x:v>
      </x:c>
      <x:c r="F11" s="8" t="str">
        <x:v>P0</x:v>
      </x:c>
      <x:c r="G11" s="17" t="n">
        <x:v>46237</x:v>
      </x:c>
      <x:c r="H11" s="17" t="n">
        <x:v>46244</x:v>
      </x:c>
      <x:c r="I11" s="11" t="n">
        <x:f t="shared" si="1">IF(OR(G11="",H11="",H11&lt;G11),"",H11-G11+1)</x:f>
        <x:v>8</x:v>
      </x:c>
      <x:c r="J11" s="15"/>
      <x:c r="K11" s="12" t="n">
        <x:f t="shared" si="2">IF(OR($G11="",$H11="",$H11&lt;$G11),"",IF(AND(K$9&lt;=$H11,K$9+6&gt;=$G11),1,""))</x:f>
        <x:v>1</x:v>
      </x:c>
      <x:c r="L11" s="13" t="n">
        <x:f t="shared" si="2">IF(OR($G11="",$H11="",$H11&lt;$G11),"",IF(AND(L$9&lt;=$H11,L$9+6&gt;=$G11),1,""))</x:f>
        <x:v>1</x:v>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x:c r="B12" s="5" t="str">
        <x:v>Foundation</x:v>
      </x:c>
      <x:c r="C12" s="4" t="str">
        <x:v>T-0.4 · Assign document owners and pass strict docs check</x:v>
      </x:c>
      <x:c r="D12" s="7" t="str">
        <x:v>Solo + AI</x:v>
      </x:c>
      <x:c r="E12" s="7" t="str">
        <x:v>At Risk</x:v>
      </x:c>
      <x:c r="F12" s="7" t="str">
        <x:v>P0</x:v>
      </x:c>
      <x:c r="G12" s="16" t="n">
        <x:v>46237</x:v>
      </x:c>
      <x:c r="H12" s="16" t="n">
        <x:v>46241</x:v>
      </x:c>
      <x:c r="I12" s="11" t="n">
        <x:f t="shared" si="1">IF(OR(G12="",H12="",H12&lt;G12),"",H12-G12+1)</x:f>
        <x:v>5</x:v>
      </x:c>
      <x:c r="J12" s="15"/>
      <x:c r="K12" s="12" t="n">
        <x:f t="shared" si="2">IF(OR($G12="",$H12="",$H12&lt;$G12),"",IF(AND(K$9&lt;=$H12,K$9+6&gt;=$G12),1,""))</x:f>
        <x:v>1</x:v>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x:c r="B13" s="6" t="str">
        <x:v>Marketing</x:v>
      </x:c>
      <x:c r="C13" s="3" t="str">
        <x:v>Apply reference design system and V4 landing content</x:v>
      </x:c>
      <x:c r="D13" s="8" t="str">
        <x:v>Solo + AI</x:v>
      </x:c>
      <x:c r="E13" s="8" t="str">
        <x:v>Complete</x:v>
      </x:c>
      <x:c r="F13" s="8" t="str">
        <x:v>P1</x:v>
      </x:c>
      <x:c r="G13" s="17" t="n">
        <x:v>46239</x:v>
      </x:c>
      <x:c r="H13" s="17" t="n">
        <x:v>46239</x:v>
      </x:c>
      <x:c r="I13" s="11" t="n">
        <x:f t="shared" si="1">IF(OR(G13="",H13="",H13&lt;G13),"",H13-G13+1)</x:f>
        <x:v>1</x:v>
      </x:c>
      <x:c r="J13" s="15"/>
      <x:c r="K13" s="12" t="n">
        <x:f t="shared" si="2">IF(OR($G13="",$H13="",$H13&lt;$G13),"",IF(AND(K$9&lt;=$H13,K$9+6&gt;=$G13),1,""))</x:f>
        <x:v>1</x:v>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x:c r="B14" s="5" t="str">
        <x:v>Identity</x:v>
      </x:c>
      <x:c r="C14" s="4" t="str">
        <x:v>T-1.1 · Member, session, legal acceptance and card schema</x:v>
      </x:c>
      <x:c r="D14" s="7" t="str">
        <x:v>Solo + AI</x:v>
      </x:c>
      <x:c r="E14" s="7" t="str">
        <x:v>In Progress</x:v>
      </x:c>
      <x:c r="F14" s="7" t="str">
        <x:v>P0</x:v>
      </x:c>
      <x:c r="G14" s="16" t="n">
        <x:v>46239</x:v>
      </x:c>
      <x:c r="H14" s="16" t="n">
        <x:v>46241</x:v>
      </x:c>
      <x:c r="I14" s="11" t="n">
        <x:f t="shared" si="1">IF(OR(G14="",H14="",H14&lt;G14),"",H14-G14+1)</x:f>
        <x:v>3</x:v>
      </x:c>
      <x:c r="J14" s="15"/>
      <x:c r="K14" s="12" t="n">
        <x:f t="shared" si="2">IF(OR($G14="",$H14="",$H14&lt;$G14),"",IF(AND(K$9&lt;=$H14,K$9+6&gt;=$G14),1,""))</x:f>
        <x:v>1</x:v>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x:c r="B15" s="6" t="str">
        <x:v>Identity</x:v>
      </x:c>
      <x:c r="C15" s="3" t="str">
        <x:v>T-1.2 · Password crypto and Twilio verification integration</x:v>
      </x:c>
      <x:c r="D15" s="8" t="str">
        <x:v>Solo + AI</x:v>
      </x:c>
      <x:c r="E15" s="8" t="str">
        <x:v>In Progress</x:v>
      </x:c>
      <x:c r="F15" s="8" t="str">
        <x:v>P0</x:v>
      </x:c>
      <x:c r="G15" s="17" t="n">
        <x:v>46239</x:v>
      </x:c>
      <x:c r="H15" s="17" t="n">
        <x:v>46241</x:v>
      </x:c>
      <x:c r="I15" s="11" t="n">
        <x:f t="shared" si="1">IF(OR(G15="",H15="",H15&lt;G15),"",H15-G15+1)</x:f>
        <x:v>3</x:v>
      </x:c>
      <x:c r="J15" s="15"/>
      <x:c r="K15" s="12" t="n">
        <x:f t="shared" si="2">IF(OR($G15="",$H15="",$H15&lt;$G15),"",IF(AND(K$9&lt;=$H15,K$9+6&gt;=$G15),1,""))</x:f>
        <x:v>1</x:v>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x:c r="B16" s="5" t="str">
        <x:v>Identity</x:v>
      </x:c>
      <x:c r="C16" s="4" t="str">
        <x:v>T-1.3 · Registration and session service</x:v>
      </x:c>
      <x:c r="D16" s="7" t="str">
        <x:v>Solo + AI</x:v>
      </x:c>
      <x:c r="E16" s="7" t="str">
        <x:v>At Risk</x:v>
      </x:c>
      <x:c r="F16" s="7" t="str">
        <x:v>P0</x:v>
      </x:c>
      <x:c r="G16" s="16" t="n">
        <x:v>46239</x:v>
      </x:c>
      <x:c r="H16" s="16" t="n">
        <x:v>46244</x:v>
      </x:c>
      <x:c r="I16" s="11" t="n">
        <x:f t="shared" si="1">IF(OR(G16="",H16="",H16&lt;G16),"",H16-G16+1)</x:f>
        <x:v>6</x:v>
      </x:c>
      <x:c r="J16" s="15"/>
      <x:c r="K16" s="12" t="n">
        <x:f t="shared" si="2">IF(OR($G16="",$H16="",$H16&lt;$G16),"",IF(AND(K$9&lt;=$H16,K$9+6&gt;=$G16),1,""))</x:f>
        <x:v>1</x:v>
      </x:c>
      <x:c r="L16" s="13" t="n">
        <x:f t="shared" si="2">IF(OR($G16="",$H16="",$H16&lt;$G16),"",IF(AND(L$9&lt;=$H16,L$9+6&gt;=$G16),1,""))</x:f>
        <x:v>1</x:v>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x:c r="B17" s="6" t="str">
        <x:v>Legal</x:v>
      </x:c>
      <x:c r="C17" s="3" t="str">
        <x:v>T-1.4 · MDX pipeline and versioned legal document skeletons</x:v>
      </x:c>
      <x:c r="D17" s="8" t="str">
        <x:v>Solo + AI</x:v>
      </x:c>
      <x:c r="E17" s="8" t="str">
        <x:v>In Progress</x:v>
      </x:c>
      <x:c r="F17" s="8" t="str">
        <x:v>P0</x:v>
      </x:c>
      <x:c r="G17" s="17" t="n">
        <x:v>46239</x:v>
      </x:c>
      <x:c r="H17" s="17" t="n">
        <x:v>46244</x:v>
      </x:c>
      <x:c r="I17" s="11" t="n">
        <x:f t="shared" si="1">IF(OR(G17="",H17="",H17&lt;G17),"",H17-G17+1)</x:f>
        <x:v>6</x:v>
      </x:c>
      <x:c r="J17" s="15"/>
      <x:c r="K17" s="12" t="n">
        <x:f t="shared" si="2">IF(OR($G17="",$H17="",$H17&lt;$G17),"",IF(AND(K$9&lt;=$H17,K$9+6&gt;=$G17),1,""))</x:f>
        <x:v>1</x:v>
      </x:c>
      <x:c r="L17" s="13" t="n">
        <x:f t="shared" si="2">IF(OR($G17="",$H17="",$H17&lt;$G17),"",IF(AND(L$9&lt;=$H17,L$9+6&gt;=$G17),1,""))</x:f>
        <x:v>1</x:v>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x:c r="B18" s="5" t="str">
        <x:v>Identity</x:v>
      </x:c>
      <x:c r="C18" s="4" t="str">
        <x:v>T-1.5 · Registration flow with legal acceptance</x:v>
      </x:c>
      <x:c r="D18" s="7" t="str">
        <x:v>Solo + AI</x:v>
      </x:c>
      <x:c r="E18" s="7" t="str">
        <x:v>In Progress</x:v>
      </x:c>
      <x:c r="F18" s="7" t="str">
        <x:v>P0</x:v>
      </x:c>
      <x:c r="G18" s="16" t="n">
        <x:v>46240</x:v>
      </x:c>
      <x:c r="H18" s="16" t="n">
        <x:v>46245</x:v>
      </x:c>
      <x:c r="I18" s="11" t="n">
        <x:f t="shared" si="1">IF(OR(G18="",H18="",H18&lt;G18),"",H18-G18+1)</x:f>
        <x:v>6</x:v>
      </x:c>
      <x:c r="J18" s="15"/>
      <x:c r="K18" s="12" t="n">
        <x:f t="shared" si="2">IF(OR($G18="",$H18="",$H18&lt;$G18),"",IF(AND(K$9&lt;=$H18,K$9+6&gt;=$G18),1,""))</x:f>
        <x:v>1</x:v>
      </x:c>
      <x:c r="L18" s="13" t="n">
        <x:f t="shared" si="2">IF(OR($G18="",$H18="",$H18&lt;$G18),"",IF(AND(L$9&lt;=$H18,L$9+6&gt;=$G18),1,""))</x:f>
        <x:v>1</x:v>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x:c r="B19" s="6" t="str">
        <x:v>Identity</x:v>
      </x:c>
      <x:c r="C19" s="3" t="str">
        <x:v>T-1.6 · Login flow and session management</x:v>
      </x:c>
      <x:c r="D19" s="8" t="str">
        <x:v>Solo + AI</x:v>
      </x:c>
      <x:c r="E19" s="8" t="str">
        <x:v>In Progress</x:v>
      </x:c>
      <x:c r="F19" s="8" t="str">
        <x:v>P0</x:v>
      </x:c>
      <x:c r="G19" s="17" t="n">
        <x:v>46240</x:v>
      </x:c>
      <x:c r="H19" s="17" t="n">
        <x:v>46245</x:v>
      </x:c>
      <x:c r="I19" s="11" t="n">
        <x:f t="shared" si="1">IF(OR(G19="",H19="",H19&lt;G19),"",H19-G19+1)</x:f>
        <x:v>6</x:v>
      </x:c>
      <x:c r="J19" s="15"/>
      <x:c r="K19" s="12" t="n">
        <x:f t="shared" si="2">IF(OR($G19="",$H19="",$H19&lt;$G19),"",IF(AND(K$9&lt;=$H19,K$9+6&gt;=$G19),1,""))</x:f>
        <x:v>1</x:v>
      </x:c>
      <x:c r="L19" s="13" t="n">
        <x:f t="shared" si="2">IF(OR($G19="",$H19="",$H19&lt;$G19),"",IF(AND(L$9&lt;=$H19,L$9+6&gt;=$G19),1,""))</x:f>
        <x:v>1</x:v>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x:c r="B20" s="5" t="str">
        <x:v>Member UX</x:v>
      </x:c>
      <x:c r="C20" s="4" t="str">
        <x:v>T-1.7 · Profile management and deletion flow</x:v>
      </x:c>
      <x:c r="D20" s="7" t="str">
        <x:v>Solo + AI</x:v>
      </x:c>
      <x:c r="E20" s="7" t="str">
        <x:v>In Progress</x:v>
      </x:c>
      <x:c r="F20" s="7" t="str">
        <x:v>P1</x:v>
      </x:c>
      <x:c r="G20" s="16" t="n">
        <x:v>46241</x:v>
      </x:c>
      <x:c r="H20" s="16" t="n">
        <x:v>46246</x:v>
      </x:c>
      <x:c r="I20" s="11" t="n">
        <x:f t="shared" si="1">IF(OR(G20="",H20="",H20&lt;G20),"",H20-G20+1)</x:f>
        <x:v>6</x:v>
      </x:c>
      <x:c r="J20" s="15"/>
      <x:c r="K20" s="12" t="n">
        <x:f t="shared" ref="K20:T29" si="4">IF(OR($G20="",$H20="",$H20&lt;$G20),"",IF(AND(K$9&lt;=$H20,K$9+6&gt;=$G20),1,""))</x:f>
        <x:v>1</x:v>
      </x:c>
      <x:c r="L20" s="13" t="n">
        <x:f t="shared" si="4">IF(OR($G20="",$H20="",$H20&lt;$G20),"",IF(AND(L$9&lt;=$H20,L$9+6&gt;=$G20),1,""))</x:f>
        <x:v>1</x:v>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x:c r="B21" s="6" t="str">
        <x:v>Member UX</x:v>
      </x:c>
      <x:c r="C21" s="3" t="str">
        <x:v>T-1.8 · Virtual club card and wallet pass</x:v>
      </x:c>
      <x:c r="D21" s="8" t="str">
        <x:v>Solo + AI</x:v>
      </x:c>
      <x:c r="E21" s="8" t="str">
        <x:v>In Progress</x:v>
      </x:c>
      <x:c r="F21" s="8" t="str">
        <x:v>P1</x:v>
      </x:c>
      <x:c r="G21" s="17" t="n">
        <x:v>46241</x:v>
      </x:c>
      <x:c r="H21" s="17" t="n">
        <x:v>46247</x:v>
      </x:c>
      <x:c r="I21" s="11" t="n">
        <x:f t="shared" si="1">IF(OR(G21="",H21="",H21&lt;G21),"",H21-G21+1)</x:f>
        <x:v>7</x:v>
      </x:c>
      <x:c r="J21" s="15"/>
      <x:c r="K21" s="12" t="n">
        <x:f t="shared" si="4">IF(OR($G21="",$H21="",$H21&lt;$G21),"",IF(AND(K$9&lt;=$H21,K$9+6&gt;=$G21),1,""))</x:f>
        <x:v>1</x:v>
      </x:c>
      <x:c r="L21" s="13" t="n">
        <x:f t="shared" si="4">IF(OR($G21="",$H21="",$H21&lt;$G21),"",IF(AND(L$9&lt;=$H21,L$9+6&gt;=$G21),1,""))</x:f>
        <x:v>1</x:v>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x:c r="B22" s="5" t="str">
        <x:v>Public</x:v>
      </x:c>
      <x:c r="C22" s="4" t="str">
        <x:v>T-1.9 · Public card verification page</x:v>
      </x:c>
      <x:c r="D22" s="7" t="str">
        <x:v>Solo + AI</x:v>
      </x:c>
      <x:c r="E22" s="7" t="str">
        <x:v>In Progress</x:v>
      </x:c>
      <x:c r="F22" s="7" t="str">
        <x:v>P0</x:v>
      </x:c>
      <x:c r="G22" s="16" t="n">
        <x:v>46241</x:v>
      </x:c>
      <x:c r="H22" s="16" t="n">
        <x:v>46244</x:v>
      </x:c>
      <x:c r="I22" s="11" t="n">
        <x:f t="shared" si="1">IF(OR(G22="",H22="",H22&lt;G22),"",H22-G22+1)</x:f>
        <x:v>4</x:v>
      </x:c>
      <x:c r="J22" s="15"/>
      <x:c r="K22" s="12" t="n">
        <x:f t="shared" si="4">IF(OR($G22="",$H22="",$H22&lt;$G22),"",IF(AND(K$9&lt;=$H22,K$9+6&gt;=$G22),1,""))</x:f>
        <x:v>1</x:v>
      </x:c>
      <x:c r="L22" s="13" t="n">
        <x:f t="shared" si="4">IF(OR($G22="",$H22="",$H22&lt;$G22),"",IF(AND(L$9&lt;=$H22,L$9+6&gt;=$G22),1,""))</x:f>
        <x:v>1</x:v>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x:c r="B23" s="6" t="str">
        <x:v>Staff</x:v>
      </x:c>
      <x:c r="C23" s="3" t="str">
        <x:v>T-1.10 · Staff card revocation</x:v>
      </x:c>
      <x:c r="D23" s="8" t="str">
        <x:v>Solo + AI</x:v>
      </x:c>
      <x:c r="E23" s="8" t="str">
        <x:v>In Progress</x:v>
      </x:c>
      <x:c r="F23" s="8" t="str">
        <x:v>P1</x:v>
      </x:c>
      <x:c r="G23" s="17" t="n">
        <x:v>46242</x:v>
      </x:c>
      <x:c r="H23" s="17" t="n">
        <x:v>46246</x:v>
      </x:c>
      <x:c r="I23" s="11" t="n">
        <x:f t="shared" si="1">IF(OR(G23="",H23="",H23&lt;G23),"",H23-G23+1)</x:f>
        <x:v>5</x:v>
      </x:c>
      <x:c r="J23" s="15"/>
      <x:c r="K23" s="12" t="n">
        <x:f t="shared" si="4">IF(OR($G23="",$H23="",$H23&lt;$G23),"",IF(AND(K$9&lt;=$H23,K$9+6&gt;=$G23),1,""))</x:f>
        <x:v>1</x:v>
      </x:c>
      <x:c r="L23" s="13" t="n">
        <x:f t="shared" si="4">IF(OR($G23="",$H23="",$H23&lt;$G23),"",IF(AND(L$9&lt;=$H23,L$9+6&gt;=$G23),1,""))</x:f>
        <x:v>1</x:v>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x:c r="B24" s="5" t="str">
        <x:v>Security</x:v>
      </x:c>
      <x:c r="C24" s="4" t="str">
        <x:v>T-1.11 · Identity authz and member-leak constraint tests</x:v>
      </x:c>
      <x:c r="D24" s="7" t="str">
        <x:v>Solo + AI</x:v>
      </x:c>
      <x:c r="E24" s="7" t="str">
        <x:v>Not Started</x:v>
      </x:c>
      <x:c r="F24" s="7" t="str">
        <x:v>P0</x:v>
      </x:c>
      <x:c r="G24" s="16" t="n">
        <x:v>46245</x:v>
      </x:c>
      <x:c r="H24" s="16" t="n">
        <x:v>46248</x:v>
      </x:c>
      <x:c r="I24" s="11" t="n">
        <x:f t="shared" si="1">IF(OR(G24="",H24="",H24&lt;G24),"",H24-G24+1)</x:f>
        <x:v>4</x:v>
      </x:c>
      <x:c r="J24" s="15"/>
      <x:c r="K24" s="12" t="str">
        <x:f t="shared" si="4">IF(OR($G24="",$H24="",$H24&lt;$G24),"",IF(AND(K$9&lt;=$H24,K$9+6&gt;=$G24),1,""))</x:f>
      </x:c>
      <x:c r="L24" s="13" t="n">
        <x:f t="shared" si="4">IF(OR($G24="",$H24="",$H24&lt;$G24),"",IF(AND(L$9&lt;=$H24,L$9+6&gt;=$G24),1,""))</x:f>
        <x:v>1</x:v>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x:c r="B25" s="6" t="str">
        <x:v>Quality</x:v>
      </x:c>
      <x:c r="C25" s="3" t="str">
        <x:v>Resolve baseline TypeScript errors in auth and identity</x:v>
      </x:c>
      <x:c r="D25" s="8" t="str">
        <x:v>Solo + AI</x:v>
      </x:c>
      <x:c r="E25" s="8" t="str">
        <x:v>At Risk</x:v>
      </x:c>
      <x:c r="F25" s="8" t="str">
        <x:v>P0</x:v>
      </x:c>
      <x:c r="G25" s="17" t="n">
        <x:v>46240</x:v>
      </x:c>
      <x:c r="H25" s="17" t="n">
        <x:v>46244</x:v>
      </x:c>
      <x:c r="I25" s="11" t="n">
        <x:f t="shared" si="1">IF(OR(G25="",H25="",H25&lt;G25),"",H25-G25+1)</x:f>
        <x:v>5</x:v>
      </x:c>
      <x:c r="J25" s="15"/>
      <x:c r="K25" s="12" t="n">
        <x:f t="shared" si="4">IF(OR($G25="",$H25="",$H25&lt;$G25),"",IF(AND(K$9&lt;=$H25,K$9+6&gt;=$G25),1,""))</x:f>
        <x:v>1</x:v>
      </x:c>
      <x:c r="L25" s="13" t="n">
        <x:f t="shared" si="4">IF(OR($G25="",$H25="",$H25&lt;$G25),"",IF(AND(L$9&lt;=$H25,L$9+6&gt;=$G25),1,""))</x:f>
        <x:v>1</x:v>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x:c r="B26" s="5" t="str">
        <x:v>Documentation</x:v>
      </x:c>
      <x:c r="C26" s="4" t="str">
        <x:v>Synchronize delivery README with written phase files</x:v>
      </x:c>
      <x:c r="D26" s="7" t="str">
        <x:v>Solo + AI</x:v>
      </x:c>
      <x:c r="E26" s="7" t="str">
        <x:v>At Risk</x:v>
      </x:c>
      <x:c r="F26" s="7" t="str">
        <x:v>P1</x:v>
      </x:c>
      <x:c r="G26" s="16" t="n">
        <x:v>46240</x:v>
      </x:c>
      <x:c r="H26" s="16" t="n">
        <x:v>46241</x:v>
      </x:c>
      <x:c r="I26" s="11" t="n">
        <x:f t="shared" si="1">IF(OR(G26="",H26="",H26&lt;G26),"",H26-G26+1)</x:f>
        <x:v>2</x:v>
      </x:c>
      <x:c r="J26" s="15"/>
      <x:c r="K26" s="12" t="n">
        <x:f t="shared" si="4">IF(OR($G26="",$H26="",$H26&lt;$G26),"",IF(AND(K$9&lt;=$H26,K$9+6&gt;=$G26),1,""))</x:f>
        <x:v>1</x:v>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x:c r="B27" s="6" t="str">
        <x:v>Release</x:v>
      </x:c>
      <x:c r="C27" s="3" t="str">
        <x:v>Run Phase 1 exit gate, rollback rehearsal and demo</x:v>
      </x:c>
      <x:c r="D27" s="8" t="str">
        <x:v>Solo + AI</x:v>
      </x:c>
      <x:c r="E27" s="8" t="str">
        <x:v>Not Started</x:v>
      </x:c>
      <x:c r="F27" s="8" t="str">
        <x:v>P0</x:v>
      </x:c>
      <x:c r="G27" s="17" t="n">
        <x:v>46248</x:v>
      </x:c>
      <x:c r="H27" s="17" t="n">
        <x:v>46251</x:v>
      </x:c>
      <x:c r="I27" s="11" t="n">
        <x:f t="shared" si="1">IF(OR(G27="",H27="",H27&lt;G27),"",H27-G27+1)</x:f>
        <x:v>4</x:v>
      </x:c>
      <x:c r="J27" s="15"/>
      <x:c r="K27" s="12" t="str">
        <x:f t="shared" si="4">IF(OR($G27="",$H27="",$H27&lt;$G27),"",IF(AND(K$9&lt;=$H27,K$9+6&gt;=$G27),1,""))</x:f>
      </x:c>
      <x:c r="L27" s="13" t="n">
        <x:f t="shared" si="4">IF(OR($G27="",$H27="",$H27&lt;$G27),"",IF(AND(L$9&lt;=$H27,L$9+6&gt;=$G27),1,""))</x:f>
        <x:v>1</x:v>
      </x:c>
      <x:c r="M27" s="12" t="n">
        <x:f t="shared" si="4">IF(OR($G27="",$H27="",$H27&lt;$G27),"",IF(AND(M$9&lt;=$H27,M$9+6&gt;=$G27),1,""))</x:f>
        <x:v>1</x:v>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x:c r="B28" s="5"/>
      <x:c r="C28" s="4"/>
      <x:c r="D28" s="7"/>
      <x:c r="E28" s="7"/>
      <x:c r="F28" s="7"/>
      <x:c r="G28" s="16"/>
      <x:c r="H28" s="16"/>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x:c r="B29" s="6"/>
      <x:c r="C29" s="3"/>
      <x:c r="D29" s="8"/>
      <x:c r="E29" s="8"/>
      <x:c r="F29" s="8"/>
      <x:c r="G29" s="17"/>
      <x:c r="H29" s="17"/>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x:c r="B30" s="5"/>
      <x:c r="C30" s="4"/>
      <x:c r="D30" s="7"/>
      <x:c r="E30" s="7"/>
      <x:c r="F30" s="7"/>
      <x:c r="G30" s="16"/>
      <x:c r="H30" s="16"/>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x:c r="B31" s="6"/>
      <x:c r="C31" s="3"/>
      <x:c r="D31" s="8"/>
      <x:c r="E31" s="8"/>
      <x:c r="F31" s="8"/>
      <x:c r="G31" s="10"/>
      <x:c r="H31" s="10"/>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x:c r="B32" s="5"/>
      <x:c r="C32" s="4"/>
      <x:c r="D32" s="7"/>
      <x:c r="E32" s="7"/>
      <x:c r="F32" s="7"/>
      <x:c r="G32" s="9"/>
      <x:c r="H32" s="9"/>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x:c r="B33" s="6"/>
      <x:c r="C33" s="3"/>
      <x:c r="D33" s="8"/>
      <x:c r="E33" s="8"/>
      <x:c r="F33" s="8"/>
      <x:c r="G33" s="10"/>
      <x:c r="H33" s="10"/>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x:c r="B34" s="5"/>
      <x:c r="C34" s="4"/>
      <x:c r="D34" s="7"/>
      <x:c r="E34" s="7"/>
      <x:c r="F34" s="7"/>
      <x:c r="G34" s="9"/>
      <x:c r="H34" s="9"/>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x:c r="B35" s="6"/>
      <x:c r="C35" s="3"/>
      <x:c r="D35" s="8"/>
      <x:c r="E35" s="8"/>
      <x:c r="F35" s="8"/>
      <x:c r="G35" s="10"/>
      <x:c r="H35" s="10"/>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x:c r="B36" s="5"/>
      <x:c r="C36" s="4"/>
      <x:c r="D36" s="7"/>
      <x:c r="E36" s="7"/>
      <x:c r="F36" s="7"/>
      <x:c r="G36" s="9"/>
      <x:c r="H36" s="9"/>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x:c r="B37" s="6"/>
      <x:c r="C37" s="3"/>
      <x:c r="D37" s="8"/>
      <x:c r="E37" s="8"/>
      <x:c r="F37" s="8"/>
      <x:c r="G37" s="10"/>
      <x:c r="H37" s="10"/>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x:c r="B38" s="5"/>
      <x:c r="C38" s="4"/>
      <x:c r="D38" s="7"/>
      <x:c r="E38" s="7"/>
      <x:c r="F38" s="7"/>
      <x:c r="G38" s="9"/>
      <x:c r="H38" s="9"/>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x:c r="B39" s="6"/>
      <x:c r="C39" s="3"/>
      <x:c r="D39" s="8"/>
      <x:c r="E39" s="8"/>
      <x:c r="F39" s="8"/>
      <x:c r="G39" s="10"/>
      <x:c r="H39" s="10"/>
      <x:c r="I39" s="11" t="str">
        <x:f t="shared" si="1">IF(OR(G39="",H39="",H39&lt;G39),"",H39-G39+1)</x:f>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29" t="str">
        <x:v>Snapshot 2026-08-06. Statuses are grounded in delivery docs, current files, browser QA and test results. Dates for incomplete work are planning estimates from documented task sizes, not committed deadlines. Typecheck is currently blocked by auth/identity errors.</x:v>
      </x:c>
      <x:c r="C41" s="30" t="s">
        <x:v>23</x:v>
      </x:c>
      <x:c r="D41" s="30" t="s">
        <x:v>23</x:v>
      </x:c>
      <x:c r="E41" s="30" t="s">
        <x:v>23</x:v>
      </x:c>
      <x:c r="F41" s="30" t="s">
        <x:v>23</x:v>
      </x:c>
      <x:c r="G41" s="30" t="s">
        <x:v>23</x:v>
      </x:c>
      <x:c r="H41" s="30" t="s">
        <x:v>23</x:v>
      </x:c>
      <x:c r="I41" s="30" t="s">
        <x:v>23</x:v>
      </x:c>
      <x:c r="J41" s="30" t="s">
        <x:v>23</x:v>
      </x:c>
      <x:c r="K41" s="30" t="s">
        <x:v>23</x:v>
      </x:c>
      <x:c r="L41" s="30" t="s">
        <x:v>23</x:v>
      </x:c>
      <x:c r="M41" s="30" t="s">
        <x:v>23</x:v>
      </x:c>
      <x:c r="N41" s="30" t="s">
        <x:v>23</x:v>
      </x:c>
      <x:c r="O41" s="30" t="s">
        <x:v>23</x:v>
      </x:c>
      <x:c r="P41" s="30" t="s">
        <x:v>23</x:v>
      </x:c>
      <x:c r="Q41" s="30" t="s">
        <x:v>23</x:v>
      </x:c>
      <x:c r="R41" s="30" t="s">
        <x:v>23</x:v>
      </x:c>
      <x:c r="S41" s="30" t="s">
        <x:v>23</x:v>
      </x:c>
      <x:c r="T41" s="30" t="s">
        <x:v>23</x:v>
      </x:c>
      <x:c r="U41" s="30" t="s">
        <x:v>23</x:v>
      </x:c>
      <x:c r="V41" s="30" t="s">
        <x:v>23</x:v>
      </x:c>
      <x:c r="W41" s="30" t="s">
        <x:v>23</x:v>
      </x:c>
      <x:c r="X41" s="30" t="s">
        <x:v>23</x:v>
      </x:c>
      <x:c r="Y41" s="30" t="s">
        <x:v>23</x:v>
      </x:c>
      <x:c r="Z41" s="30" t="s">
        <x:v>23</x:v>
      </x:c>
      <x:c r="AA41" s="30" t="s">
        <x:v>23</x:v>
      </x:c>
      <x:c r="AB41" s="30" t="s">
        <x:v>23</x:v>
      </x:c>
      <x:c r="AC41" s="30" t="s">
        <x:v>23</x:v>
      </x:c>
      <x:c r="AD41" s="31" t="s">
        <x:v>23</x:v>
      </x:c>
    </x:row>
    <x:row r="42" ht="24" customHeight="1">
      <x:c r="B42" s="32" t="s">
        <x:v>23</x:v>
      </x:c>
      <x:c r="C42" s="33" t="s">
        <x:v>23</x:v>
      </x:c>
      <x:c r="D42" s="33" t="s">
        <x:v>23</x:v>
      </x:c>
      <x:c r="E42" s="33" t="s">
        <x:v>23</x:v>
      </x:c>
      <x:c r="F42" s="33" t="s">
        <x:v>23</x:v>
      </x:c>
      <x:c r="G42" s="33" t="s">
        <x:v>23</x:v>
      </x:c>
      <x:c r="H42" s="33" t="s">
        <x:v>23</x:v>
      </x:c>
      <x:c r="I42" s="33" t="s">
        <x:v>23</x:v>
      </x:c>
      <x:c r="J42" s="33" t="s">
        <x:v>23</x:v>
      </x:c>
      <x:c r="K42" s="33" t="s">
        <x:v>23</x:v>
      </x:c>
      <x:c r="L42" s="33" t="s">
        <x:v>23</x:v>
      </x:c>
      <x:c r="M42" s="33" t="s">
        <x:v>23</x:v>
      </x:c>
      <x:c r="N42" s="33" t="s">
        <x:v>23</x:v>
      </x:c>
      <x:c r="O42" s="33" t="s">
        <x:v>23</x:v>
      </x:c>
      <x:c r="P42" s="33" t="s">
        <x:v>23</x:v>
      </x:c>
      <x:c r="Q42" s="33" t="s">
        <x:v>23</x:v>
      </x:c>
      <x:c r="R42" s="33" t="s">
        <x:v>23</x:v>
      </x:c>
      <x:c r="S42" s="33" t="s">
        <x:v>23</x:v>
      </x:c>
      <x:c r="T42" s="33" t="s">
        <x:v>23</x:v>
      </x:c>
      <x:c r="U42" s="33" t="s">
        <x:v>23</x:v>
      </x:c>
      <x:c r="V42" s="33" t="s">
        <x:v>23</x:v>
      </x:c>
      <x:c r="W42" s="33" t="s">
        <x:v>23</x:v>
      </x:c>
      <x:c r="X42" s="33" t="s">
        <x:v>23</x:v>
      </x:c>
      <x:c r="Y42" s="33" t="s">
        <x:v>23</x:v>
      </x:c>
      <x:c r="Z42" s="33" t="s">
        <x:v>23</x:v>
      </x:c>
      <x:c r="AA42" s="33" t="s">
        <x:v>23</x:v>
      </x:c>
      <x:c r="AB42" s="33" t="s">
        <x:v>23</x:v>
      </x:c>
      <x:c r="AC42" s="33" t="s">
        <x:v>23</x:v>
      </x:c>
      <x:c r="AD42" s="34" t="s">
        <x:v>23</x:v>
      </x:c>
    </x:row>
  </x:sheetData>
  <x:mergeCells>
    <x:mergeCell ref="B8:I8"/>
    <x:mergeCell ref="K8:AD8"/>
    <x:mergeCell ref="B41:AD42"/>
    <x:mergeCell ref="S6:V6"/>
    <x:mergeCell ref="W5:Z5"/>
    <x:mergeCell ref="W6:Z6"/>
    <x:mergeCell ref="AA5:AD5"/>
    <x:mergeCell ref="AA6:AD6"/>
    <x:mergeCell ref="K5:N5"/>
    <x:mergeCell ref="K6:N6"/>
    <x:mergeCell ref="O5:R5"/>
    <x:mergeCell ref="O6:R6"/>
    <x:mergeCell ref="F6:G6"/>
    <x:mergeCell ref="B2:R2"/>
    <x:mergeCell ref="S2:AD2"/>
    <x:mergeCell ref="B4:I4"/>
    <x:mergeCell ref="K4:AD4"/>
    <x:mergeCell ref="S5:V5"/>
    <x:mergeCell ref="F5:G5"/>
    <x:mergeCell ref="C5:E5"/>
    <x:mergeCell ref="H5:I5"/>
    <x:mergeCell ref="C6:E6"/>
    <x:mergeCell ref="H6:I6"/>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"Foundation,Marketing,Identity,Legal,Member UX,Public,Staff,Security,Quality,Documentation,Release"</x:formula1>
    </x:dataValidation>
    <x:dataValidation type="list" sqref="D10:D39">
      <x:formula1>"Solo + AI,Unassigned"</x:formula1>
    </x:dataValidation>
    <x:dataValidation type="list" sqref="E10:E39">
      <x:formula1>"Complete,In Progress,At Risk,Not Started"</x:formula1>
    </x:dataValidation>
    <x:dataValidation type="list" sqref="F10:F39">
      <x:formula1>"P0,P1,P2"</x:formula1>
    </x:dataValidation>
  </x:dataValidations>
  <x:pageMargins left="0.7" right="0.7" top="0.75" bottom="0.75" header="0.3" footer="0.3"/>
</x:worksheet>
</file>